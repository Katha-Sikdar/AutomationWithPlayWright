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D Universities" sheetId="1" state="visible" r:id="rId3"/>
    <sheet name="Summary" sheetId="2" state="visible" r:id="rId4"/>
  </sheets>
  <definedNames>
    <definedName function="false" hidden="true" localSheetId="0" name="_xlnm._FilterDatabase" vbProcedure="false">'PhD Universities'!$A$1:$H$44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<sst xmlns="http://schemas.openxmlformats.org/spreadsheetml/2006/main" count="322" uniqueCount="221">
  <si>
    <t xml:space="preserve">#</t>
  </si>
  <si>
    <t xml:space="preserve">Country</t>
  </si>
  <si>
    <t xml:space="preserve">University Name</t>
  </si>
  <si>
    <t xml:space="preserve">Department / PhD Program</t>
  </si>
  <si>
    <t xml:space="preserve">URL</t>
  </si>
  <si>
    <t xml:space="preserve">Professor(s) in Software Testing / SQA</t>
  </si>
  <si>
    <t xml:space="preserve">Research Focus</t>
  </si>
  <si>
    <t xml:space="preserve">Verification Status</t>
  </si>
  <si>
    <t xml:space="preserve">USA</t>
  </si>
  <si>
    <t xml:space="preserve">Carnegie Mellon University</t>
  </si>
  <si>
    <t xml:space="preserve">PhD in Software Engineering (S3D, School of CS)</t>
  </si>
  <si>
    <t xml:space="preserve">https://s3d.cmu.edu/</t>
  </si>
  <si>
    <t xml:space="preserve">Rohan Padhye; Claire Le Goues</t>
  </si>
  <si>
    <t xml:space="preserve">Fuzz testing, concurrency testing; automated program repair, testing quality</t>
  </si>
  <si>
    <t xml:space="preserve">Verified (web, Oct 2026)</t>
  </si>
  <si>
    <t xml:space="preserve">University of Illinois Urbana-Champaign</t>
  </si>
  <si>
    <t xml:space="preserve">PhD in Computer Science</t>
  </si>
  <si>
    <t xml:space="preserve">https://siebelschool.illinois.edu/</t>
  </si>
  <si>
    <t xml:space="preserve">Darko Marinov; Lingming Zhang</t>
  </si>
  <si>
    <t xml:space="preserve">Regression testing, flaky tests, test selection; LLM-based testing &amp; fuzzing</t>
  </si>
  <si>
    <t xml:space="preserve">From prior knowledge - please verify</t>
  </si>
  <si>
    <t xml:space="preserve">University of Texas at Austin</t>
  </si>
  <si>
    <t xml:space="preserve">PhD in ECE - Software Engineering track</t>
  </si>
  <si>
    <t xml:space="preserve">https://www.ece.utexas.edu/</t>
  </si>
  <si>
    <t xml:space="preserve">Milos Gligoric; August Shi</t>
  </si>
  <si>
    <t xml:space="preserve">Regression test selection, flaky tests, test evolution</t>
  </si>
  <si>
    <t xml:space="preserve">Georgia Institute of Technology</t>
  </si>
  <si>
    <t xml:space="preserve">PhD in Computer Science / Software Engineering</t>
  </si>
  <si>
    <t xml:space="preserve">https://www.cc.gatech.edu/</t>
  </si>
  <si>
    <t xml:space="preserve">Alessandro Orso</t>
  </si>
  <si>
    <t xml:space="preserve">Software testing &amp; analysis, debugging, field testing</t>
  </si>
  <si>
    <t xml:space="preserve">University of Washington</t>
  </si>
  <si>
    <t xml:space="preserve">PhD in Computer Science &amp; Engineering</t>
  </si>
  <si>
    <t xml:space="preserve">https://www.cs.washington.edu/</t>
  </si>
  <si>
    <t xml:space="preserve">Michael D. Ernst; René Just</t>
  </si>
  <si>
    <t xml:space="preserve">Test generation, mutation testing, test oracles (Defects4J)</t>
  </si>
  <si>
    <t xml:space="preserve">University of California, Berkeley</t>
  </si>
  <si>
    <t xml:space="preserve">PhD in EECS</t>
  </si>
  <si>
    <t xml:space="preserve">https://eecs.berkeley.edu/</t>
  </si>
  <si>
    <t xml:space="preserve">Koushik Sen</t>
  </si>
  <si>
    <t xml:space="preserve">Concolic testing, fuzzing, dynamic analysis</t>
  </si>
  <si>
    <t xml:space="preserve">University of California, Irvine</t>
  </si>
  <si>
    <t xml:space="preserve">PhD in Software Engineering (Donald Bren School of ICS)</t>
  </si>
  <si>
    <t xml:space="preserve">https://www.informatics.uci.edu/</t>
  </si>
  <si>
    <t xml:space="preserve">James A. Jones; Joshua Garcia</t>
  </si>
  <si>
    <t xml:space="preserve">Fault localization, debugging, testing of autonomous/ML systems</t>
  </si>
  <si>
    <t xml:space="preserve">Purdue University</t>
  </si>
  <si>
    <t xml:space="preserve">https://www.cs.purdue.edu/</t>
  </si>
  <si>
    <t xml:space="preserve">Lin Tan; Xiangyu Zhang</t>
  </si>
  <si>
    <t xml:space="preserve">AI for testing &amp; repair, fuzzing, dynamic analysis</t>
  </si>
  <si>
    <t xml:space="preserve">North Carolina State University</t>
  </si>
  <si>
    <t xml:space="preserve">https://www.csc.ncsu.edu/</t>
  </si>
  <si>
    <t xml:space="preserve">Laurie Williams; Tim Menzies</t>
  </si>
  <si>
    <t xml:space="preserve">Security testing, software supply chain; AI for SE/defect prediction</t>
  </si>
  <si>
    <t xml:space="preserve">Iowa State University</t>
  </si>
  <si>
    <t xml:space="preserve">https://www.cs.iastate.edu/</t>
  </si>
  <si>
    <t xml:space="preserve">Myra B. Cohen</t>
  </si>
  <si>
    <t xml:space="preserve">Testing highly-configurable software, combinatorial &amp; SBST</t>
  </si>
  <si>
    <t xml:space="preserve">University of Virginia</t>
  </si>
  <si>
    <t xml:space="preserve">https://engineering.virginia.edu/department/computer-science</t>
  </si>
  <si>
    <t xml:space="preserve">Matthew B. Dwyer; Sebastian Elbaum</t>
  </si>
  <si>
    <t xml:space="preserve">Test adequacy, testing of DNN/robotic systems</t>
  </si>
  <si>
    <t xml:space="preserve">Northern Arizona University</t>
  </si>
  <si>
    <t xml:space="preserve">PhD in Informatics and Computing (SICCS)</t>
  </si>
  <si>
    <t xml:space="preserve">https://nau.edu/school-of-informatics-computing-and-cyber-systems/</t>
  </si>
  <si>
    <t xml:space="preserve">Alex Groce</t>
  </si>
  <si>
    <t xml:space="preserve">Mutation testing, random testing, TSTL, fuzzing</t>
  </si>
  <si>
    <t xml:space="preserve">University of Central Florida</t>
  </si>
  <si>
    <t xml:space="preserve">https://www.cs.ucf.edu/</t>
  </si>
  <si>
    <t xml:space="preserve">Kevin Moran</t>
  </si>
  <si>
    <t xml:space="preserve">Mobile app testing, GUI test generation (SAGE Lab)</t>
  </si>
  <si>
    <t xml:space="preserve">University of Texas at Dallas</t>
  </si>
  <si>
    <t xml:space="preserve">PhD in Software Engineering</t>
  </si>
  <si>
    <t xml:space="preserve">https://cs.utdallas.edu/</t>
  </si>
  <si>
    <t xml:space="preserve">W. Eric Wong</t>
  </si>
  <si>
    <t xml:space="preserve">Software testing, fault localization, software reliability/safety</t>
  </si>
  <si>
    <t xml:space="preserve">College of William &amp; Mary</t>
  </si>
  <si>
    <t xml:space="preserve">https://www.wm.edu/as/computerscience/</t>
  </si>
  <si>
    <t xml:space="preserve">Denys Poshyvanyk</t>
  </si>
  <si>
    <t xml:space="preserve">Mobile testing, deep learning for SE (SEMERU group)</t>
  </si>
  <si>
    <t xml:space="preserve">University of Massachusetts Amherst</t>
  </si>
  <si>
    <t xml:space="preserve">https://www.cics.umass.edu/</t>
  </si>
  <si>
    <t xml:space="preserve">Yuriy Brun</t>
  </si>
  <si>
    <t xml:space="preserve">Fairness testing, automated repair, test quality</t>
  </si>
  <si>
    <t xml:space="preserve">University of Delaware</t>
  </si>
  <si>
    <t xml:space="preserve">PhD in Computer &amp; Information Sciences</t>
  </si>
  <si>
    <t xml:space="preserve">https://www.cis.udel.edu/</t>
  </si>
  <si>
    <t xml:space="preserve">Lori Pollock; James Clause</t>
  </si>
  <si>
    <t xml:space="preserve">Test suite maintenance, test generation, program analysis</t>
  </si>
  <si>
    <t xml:space="preserve">Case Western Reserve University</t>
  </si>
  <si>
    <t xml:space="preserve">https://engineering.case.edu/computer-and-data-sciences</t>
  </si>
  <si>
    <t xml:space="preserve">Andy Podgurski</t>
  </si>
  <si>
    <t xml:space="preserve">Statistical testing, fault localization, fairness testing</t>
  </si>
  <si>
    <t xml:space="preserve">Columbia University</t>
  </si>
  <si>
    <t xml:space="preserve">https://www.cs.columbia.edu/</t>
  </si>
  <si>
    <t xml:space="preserve">Gail Kaiser</t>
  </si>
  <si>
    <t xml:space="preserve">Metamorphic testing, testing ML applications</t>
  </si>
  <si>
    <t xml:space="preserve">UK</t>
  </si>
  <si>
    <t xml:space="preserve">University of Sheffield</t>
  </si>
  <si>
    <t xml:space="preserve">PhD in Computer Science (Testing Research Group)</t>
  </si>
  <si>
    <t xml:space="preserve">https://www.sheffield.ac.uk/cs/research/groups/testing</t>
  </si>
  <si>
    <t xml:space="preserve">Phil McMinn; Robert M. Hierons; José Miguel Rojas; Neil Walkinshaw; Donghwan Shin</t>
  </si>
  <si>
    <t xml:space="preserve">Search-based testing, flaky tests, test oracles, mutation analysis, model-based testing</t>
  </si>
  <si>
    <t xml:space="preserve">University College London (UCL)</t>
  </si>
  <si>
    <t xml:space="preserve">PhD in Computer Science (SOLAR / CREST)</t>
  </si>
  <si>
    <t xml:space="preserve">https://www.ucl.ac.uk/computer-science/</t>
  </si>
  <si>
    <t xml:space="preserve">Mark Harman; Federica Sarro; Earl T. Barr; Justyna Petke</t>
  </si>
  <si>
    <t xml:space="preserve">Search-based SE/testing, genetic improvement, test oracles</t>
  </si>
  <si>
    <t xml:space="preserve">King's College London</t>
  </si>
  <si>
    <t xml:space="preserve">PhD in Informatics (Software Systems)</t>
  </si>
  <si>
    <t xml:space="preserve">https://www.kcl.ac.uk/informatics</t>
  </si>
  <si>
    <t xml:space="preserve">Jie M. Zhang; Mohammad Reza Mousavi</t>
  </si>
  <si>
    <t xml:space="preserve">ML/fairness testing, metamorphic testing, model-based testing</t>
  </si>
  <si>
    <t xml:space="preserve">Imperial College London</t>
  </si>
  <si>
    <t xml:space="preserve">PhD in Computing</t>
  </si>
  <si>
    <t xml:space="preserve">https://www.imperial.ac.uk/computing/</t>
  </si>
  <si>
    <t xml:space="preserve">Cristian Cadar; Alastair F. Donaldson</t>
  </si>
  <si>
    <t xml:space="preserve">Symbolic execution (KLEE), compiler &amp; graphics-driver testing, metamorphic testing</t>
  </si>
  <si>
    <t xml:space="preserve">University of York</t>
  </si>
  <si>
    <t xml:space="preserve">https://www.york.ac.uk/computer-science/</t>
  </si>
  <si>
    <t xml:space="preserve">Ana Cavalcanti</t>
  </si>
  <si>
    <t xml:space="preserve">Formal model-based testing, testing robotic systems (RoboStar)</t>
  </si>
  <si>
    <t xml:space="preserve">University of Edinburgh</t>
  </si>
  <si>
    <t xml:space="preserve">PhD in Informatics</t>
  </si>
  <si>
    <t xml:space="preserve">https://www.ed.ac.uk/informatics</t>
  </si>
  <si>
    <t xml:space="preserve">Ajitha Rajan</t>
  </si>
  <si>
    <t xml:space="preserve">Testing of compilers, ML systems and avionics software</t>
  </si>
  <si>
    <t xml:space="preserve">University of Bristol</t>
  </si>
  <si>
    <t xml:space="preserve">https://www.bristol.ac.uk/engineering/departments/computerscience/</t>
  </si>
  <si>
    <t xml:space="preserve">Kerstin Eder</t>
  </si>
  <si>
    <t xml:space="preserve">Verification &amp; testing of autonomous/robotic systems, coverage-driven testing</t>
  </si>
  <si>
    <t xml:space="preserve">Canada</t>
  </si>
  <si>
    <t xml:space="preserve">University of British Columbia</t>
  </si>
  <si>
    <t xml:space="preserve">PhD in Electrical &amp; Computer Engineering / Computer Science</t>
  </si>
  <si>
    <t xml:space="preserve">https://ece.ubc.ca/</t>
  </si>
  <si>
    <t xml:space="preserve">Ali Mesbah; Caroline Lemieux</t>
  </si>
  <si>
    <t xml:space="preserve">Web/mobile testing, fault localization; fuzzing (Computer Science)</t>
  </si>
  <si>
    <t xml:space="preserve">University of Ottawa</t>
  </si>
  <si>
    <t xml:space="preserve">https://www.uottawa.ca/faculty-engineering/</t>
  </si>
  <si>
    <t xml:space="preserve">Lionel C. Briand</t>
  </si>
  <si>
    <t xml:space="preserve">Testing &amp; verification of CPS and ML systems, search-based testing</t>
  </si>
  <si>
    <t xml:space="preserve">University of Waterloo</t>
  </si>
  <si>
    <t xml:space="preserve">https://uwaterloo.ca/electrical-computer-engineering/</t>
  </si>
  <si>
    <t xml:space="preserve">Weiyi (Ian) Shang; Shane McIntosh</t>
  </si>
  <si>
    <t xml:space="preserve">Performance testing, log analysis; build &amp; CI quality</t>
  </si>
  <si>
    <t xml:space="preserve">York University</t>
  </si>
  <si>
    <t xml:space="preserve">PhD in Electrical Engineering &amp; Computer Science (Lassonde)</t>
  </si>
  <si>
    <t xml:space="preserve">https://lassonde.yorku.ca/eecs/</t>
  </si>
  <si>
    <t xml:space="preserve">Song Wang; Zhen Ming (Jack) Jiang</t>
  </si>
  <si>
    <t xml:space="preserve">LLM-based test generation, fuzzing DL libraries; load/performance testing</t>
  </si>
  <si>
    <t xml:space="preserve">Polytechnique Montréal</t>
  </si>
  <si>
    <t xml:space="preserve">PhD in Computer / Software Engineering</t>
  </si>
  <si>
    <t xml:space="preserve">https://www.polymtl.ca/gigl/</t>
  </si>
  <si>
    <t xml:space="preserve">Foutse Khomh; Giuliano Antoniol</t>
  </si>
  <si>
    <t xml:space="preserve">Testing ML systems, SE4AI, search-based testing</t>
  </si>
  <si>
    <t xml:space="preserve">Concordia University</t>
  </si>
  <si>
    <t xml:space="preserve">PhD in Software Engineering / Computer Science</t>
  </si>
  <si>
    <t xml:space="preserve">https://www.concordia.ca/ginacody/computer-science-software-eng.html</t>
  </si>
  <si>
    <t xml:space="preserve">Tse-Hsun (Peter) Chen</t>
  </si>
  <si>
    <t xml:space="preserve">Testing &amp; logging in large-scale systems, performance</t>
  </si>
  <si>
    <t xml:space="preserve">Queen's University</t>
  </si>
  <si>
    <t xml:space="preserve">https://www.cs.queensu.ca/</t>
  </si>
  <si>
    <t xml:space="preserve">Ahmed E. Hassan</t>
  </si>
  <si>
    <t xml:space="preserve">Release engineering, performance/load testing, AI4SE</t>
  </si>
  <si>
    <t xml:space="preserve">Carleton University</t>
  </si>
  <si>
    <t xml:space="preserve">PhD in Electrical &amp; Computer Engineering (Systems &amp; Computer Eng.)</t>
  </si>
  <si>
    <t xml:space="preserve">https://carleton.ca/sce/</t>
  </si>
  <si>
    <t xml:space="preserve">Yvan Labiche</t>
  </si>
  <si>
    <t xml:space="preserve">Model-based testing, UML-based testing, test generation</t>
  </si>
  <si>
    <t xml:space="preserve">University of Alberta</t>
  </si>
  <si>
    <t xml:space="preserve">PhD in Computing Science</t>
  </si>
  <si>
    <t xml:space="preserve">https://www.ualberta.ca/computing-science/</t>
  </si>
  <si>
    <t xml:space="preserve">Cor-Paul Bezemer; Sarah Nadi</t>
  </si>
  <si>
    <t xml:space="preserve">Game testing, performance; API misuse detection</t>
  </si>
  <si>
    <t xml:space="preserve">University of Toronto</t>
  </si>
  <si>
    <t xml:space="preserve">https://web.cs.toronto.edu/</t>
  </si>
  <si>
    <t xml:space="preserve">Marsha Chechik</t>
  </si>
  <si>
    <t xml:space="preserve">Model checking, verification &amp; testing of safety-critical systems</t>
  </si>
  <si>
    <t xml:space="preserve">Australia</t>
  </si>
  <si>
    <t xml:space="preserve">Monash University</t>
  </si>
  <si>
    <t xml:space="preserve">PhD (Faculty of Information Technology)</t>
  </si>
  <si>
    <t xml:space="preserve">https://www.monash.edu/it</t>
  </si>
  <si>
    <t xml:space="preserve">Aldeida Aleti; Chakkrit Tantithamthavorn; John Grundy</t>
  </si>
  <si>
    <t xml:space="preserve">Testing AI systems, search-based testing; defect prediction; human-centric SE</t>
  </si>
  <si>
    <t xml:space="preserve">Swinburne University of Technology</t>
  </si>
  <si>
    <t xml:space="preserve">https://www.swinburne.edu.au/</t>
  </si>
  <si>
    <t xml:space="preserve">Tsong Yueh Chen; Huai Liu</t>
  </si>
  <si>
    <t xml:space="preserve">Metamorphic testing, adaptive random testing, debugging</t>
  </si>
  <si>
    <t xml:space="preserve">University of Queensland</t>
  </si>
  <si>
    <t xml:space="preserve">PhD (School of EECS)</t>
  </si>
  <si>
    <t xml:space="preserve">https://eecs.uq.edu.au/</t>
  </si>
  <si>
    <t xml:space="preserve">Guowei Yang</t>
  </si>
  <si>
    <t xml:space="preserve">Symbolic execution, Android testing, DL library testing, fuzzing</t>
  </si>
  <si>
    <t xml:space="preserve">UNSW Sydney</t>
  </si>
  <si>
    <t xml:space="preserve">PhD (School of Computer Science &amp; Engineering)</t>
  </si>
  <si>
    <t xml:space="preserve">https://www.unsw.edu.au/engineering/our-schools/computer-science-and-engineering</t>
  </si>
  <si>
    <t xml:space="preserve">Yuekang Li</t>
  </si>
  <si>
    <t xml:space="preserve">Fuzz testing, software testing &amp; QA, dynamic analysis</t>
  </si>
  <si>
    <t xml:space="preserve">University of Melbourne</t>
  </si>
  <si>
    <t xml:space="preserve">PhD (School of Computing &amp; Information Systems)</t>
  </si>
  <si>
    <t xml:space="preserve">https://cis.unimelb.edu.au/</t>
  </si>
  <si>
    <t xml:space="preserve">Patanamon Thongtanunam</t>
  </si>
  <si>
    <t xml:space="preserve">Code review, software quality, defect prediction</t>
  </si>
  <si>
    <t xml:space="preserve">University of Adelaide</t>
  </si>
  <si>
    <t xml:space="preserve">PhD (School of Computer &amp; Mathematical Sciences)</t>
  </si>
  <si>
    <t xml:space="preserve">https://set.adelaide.edu.au/computer-and-mathematical-sciences/</t>
  </si>
  <si>
    <t xml:space="preserve">M. Ali Babar</t>
  </si>
  <si>
    <t xml:space="preserve">Software security testing &amp; quality (CREST centre)</t>
  </si>
  <si>
    <t xml:space="preserve">University of Wollongong</t>
  </si>
  <si>
    <t xml:space="preserve">PhD (School of Computing &amp; Information Technology)</t>
  </si>
  <si>
    <t xml:space="preserve">https://www.uow.edu.au/engineering-information-sciences/</t>
  </si>
  <si>
    <t xml:space="preserve">Hoa Khanh Dam</t>
  </si>
  <si>
    <t xml:space="preserve">AI for software quality, defect prediction</t>
  </si>
  <si>
    <t xml:space="preserve">Universities</t>
  </si>
  <si>
    <t xml:space="preserve">Total</t>
  </si>
  <si>
    <t xml:space="preserve">Notes:</t>
  </si>
  <si>
    <t xml:space="preserve">1. Dedicated PhDs titled 'Software Testing' or 'Software Quality Assurance' are very rare. In all four countries the PhD is awarded in Computer Science / Software Engineering / ECE, with the thesis in software testing/SQA under a supervisor working in that area. This list targets such universities + supervisors.</t>
  </si>
  <si>
    <t xml:space="preserve">2. 'Verified (web, Oct 2026)' = the professor's current affiliation and testing focus were confirmed via web search on 2026-10-18.</t>
  </si>
  <si>
    <t xml:space="preserve">3. 'From prior knowledge - please verify' = compiled from known publication records (ICSE/ISSTA/ICST/FSE); faculty move often, so check the department page before contacting.</t>
  </si>
  <si>
    <t xml:space="preserve">4. URLs point to the department / research-group home page. Search the professor's name on that site for their personal page and current PhD openings.</t>
  </si>
  <si>
    <t xml:space="preserve">5. Not exhaustive - many other universities have testing researchers. Useful directories: CSRankings.org (filter 'Software engineering'), conf.researchr.org (ICST / ISSTA / ICSE committee profiles).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</si>
</sst>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3d.cmu.edu/" TargetMode="External"/><Relationship Id="rId2" Type="http://schemas.openxmlformats.org/officeDocument/2006/relationships/hyperlink" Target="https://siebelschool.illinois.edu/" TargetMode="External"/><Relationship Id="rId3" Type="http://schemas.openxmlformats.org/officeDocument/2006/relationships/hyperlink" Target="https://www.ece.utexas.edu/" TargetMode="External"/><Relationship Id="rId4" Type="http://schemas.openxmlformats.org/officeDocument/2006/relationships/hyperlink" Target="https://www.cc.gatech.edu/" TargetMode="External"/><Relationship Id="rId5" Type="http://schemas.openxmlformats.org/officeDocument/2006/relationships/hyperlink" Target="https://www.cs.washington.edu/" TargetMode="External"/><Relationship Id="rId6" Type="http://schemas.openxmlformats.org/officeDocument/2006/relationships/hyperlink" Target="https://eecs.berkeley.edu/" TargetMode="External"/><Relationship Id="rId7" Type="http://schemas.openxmlformats.org/officeDocument/2006/relationships/hyperlink" Target="https://www.informatics.uci.edu/" TargetMode="External"/><Relationship Id="rId8" Type="http://schemas.openxmlformats.org/officeDocument/2006/relationships/hyperlink" Target="https://www.cs.purdue.edu/" TargetMode="External"/><Relationship Id="rId9" Type="http://schemas.openxmlformats.org/officeDocument/2006/relationships/hyperlink" Target="https://www.csc.ncsu.edu/" TargetMode="External"/><Relationship Id="rId10" Type="http://schemas.openxmlformats.org/officeDocument/2006/relationships/hyperlink" Target="https://www.cs.iastate.edu/" TargetMode="External"/><Relationship Id="rId11" Type="http://schemas.openxmlformats.org/officeDocument/2006/relationships/hyperlink" Target="https://engineering.virginia.edu/department/computer-science" TargetMode="External"/><Relationship Id="rId12" Type="http://schemas.openxmlformats.org/officeDocument/2006/relationships/hyperlink" Target="https://nau.edu/school-of-informatics-computing-and-cyber-systems/" TargetMode="External"/><Relationship Id="rId13" Type="http://schemas.openxmlformats.org/officeDocument/2006/relationships/hyperlink" Target="https://www.cs.ucf.edu/" TargetMode="External"/><Relationship Id="rId14" Type="http://schemas.openxmlformats.org/officeDocument/2006/relationships/hyperlink" Target="https://cs.utdallas.edu/" TargetMode="External"/><Relationship Id="rId15" Type="http://schemas.openxmlformats.org/officeDocument/2006/relationships/hyperlink" Target="https://www.wm.edu/as/computerscience/" TargetMode="External"/><Relationship Id="rId16" Type="http://schemas.openxmlformats.org/officeDocument/2006/relationships/hyperlink" Target="https://www.cics.umass.edu/" TargetMode="External"/><Relationship Id="rId17" Type="http://schemas.openxmlformats.org/officeDocument/2006/relationships/hyperlink" Target="https://www.cis.udel.edu/" TargetMode="External"/><Relationship Id="rId18" Type="http://schemas.openxmlformats.org/officeDocument/2006/relationships/hyperlink" Target="https://engineering.case.edu/computer-and-data-sciences" TargetMode="External"/><Relationship Id="rId19" Type="http://schemas.openxmlformats.org/officeDocument/2006/relationships/hyperlink" Target="https://www.cs.columbia.edu/" TargetMode="External"/><Relationship Id="rId20" Type="http://schemas.openxmlformats.org/officeDocument/2006/relationships/hyperlink" Target="https://www.sheffield.ac.uk/cs/research/groups/testing" TargetMode="External"/><Relationship Id="rId21" Type="http://schemas.openxmlformats.org/officeDocument/2006/relationships/hyperlink" Target="https://www.ucl.ac.uk/computer-science/" TargetMode="External"/><Relationship Id="rId22" Type="http://schemas.openxmlformats.org/officeDocument/2006/relationships/hyperlink" Target="https://www.kcl.ac.uk/informatics" TargetMode="External"/><Relationship Id="rId23" Type="http://schemas.openxmlformats.org/officeDocument/2006/relationships/hyperlink" Target="https://www.imperial.ac.uk/computing/" TargetMode="External"/><Relationship Id="rId24" Type="http://schemas.openxmlformats.org/officeDocument/2006/relationships/hyperlink" Target="https://www.york.ac.uk/computer-science/" TargetMode="External"/><Relationship Id="rId25" Type="http://schemas.openxmlformats.org/officeDocument/2006/relationships/hyperlink" Target="https://www.ed.ac.uk/informatics" TargetMode="External"/><Relationship Id="rId26" Type="http://schemas.openxmlformats.org/officeDocument/2006/relationships/hyperlink" Target="https://www.bristol.ac.uk/engineering/departments/computerscience/" TargetMode="External"/><Relationship Id="rId27" Type="http://schemas.openxmlformats.org/officeDocument/2006/relationships/hyperlink" Target="https://ece.ubc.ca/" TargetMode="External"/><Relationship Id="rId28" Type="http://schemas.openxmlformats.org/officeDocument/2006/relationships/hyperlink" Target="https://www.uottawa.ca/faculty-engineering/" TargetMode="External"/><Relationship Id="rId29" Type="http://schemas.openxmlformats.org/officeDocument/2006/relationships/hyperlink" Target="https://uwaterloo.ca/electrical-computer-engineering/" TargetMode="External"/><Relationship Id="rId30" Type="http://schemas.openxmlformats.org/officeDocument/2006/relationships/hyperlink" Target="https://lassonde.yorku.ca/eecs/" TargetMode="External"/><Relationship Id="rId31" Type="http://schemas.openxmlformats.org/officeDocument/2006/relationships/hyperlink" Target="https://www.polymtl.ca/gigl/" TargetMode="External"/><Relationship Id="rId32" Type="http://schemas.openxmlformats.org/officeDocument/2006/relationships/hyperlink" Target="https://www.concordia.ca/ginacody/computer-science-software-eng.html" TargetMode="External"/><Relationship Id="rId33" Type="http://schemas.openxmlformats.org/officeDocument/2006/relationships/hyperlink" Target="https://www.cs.queensu.ca/" TargetMode="External"/><Relationship Id="rId34" Type="http://schemas.openxmlformats.org/officeDocument/2006/relationships/hyperlink" Target="https://carleton.ca/sce/" TargetMode="External"/><Relationship Id="rId35" Type="http://schemas.openxmlformats.org/officeDocument/2006/relationships/hyperlink" Target="https://www.ualberta.ca/computing-science/" TargetMode="External"/><Relationship Id="rId36" Type="http://schemas.openxmlformats.org/officeDocument/2006/relationships/hyperlink" Target="https://web.cs.toronto.edu/" TargetMode="External"/><Relationship Id="rId37" Type="http://schemas.openxmlformats.org/officeDocument/2006/relationships/hyperlink" Target="https://www.monash.edu/it" TargetMode="External"/><Relationship Id="rId38" Type="http://schemas.openxmlformats.org/officeDocument/2006/relationships/hyperlink" Target="https://www.swinburne.edu.au/" TargetMode="External"/><Relationship Id="rId39" Type="http://schemas.openxmlformats.org/officeDocument/2006/relationships/hyperlink" Target="https://eecs.uq.edu.au/" TargetMode="External"/><Relationship Id="rId40" Type="http://schemas.openxmlformats.org/officeDocument/2006/relationships/hyperlink" Target="https://www.unsw.edu.au/engineering/our-schools/computer-science-and-engineering" TargetMode="External"/><Relationship Id="rId41" Type="http://schemas.openxmlformats.org/officeDocument/2006/relationships/hyperlink" Target="https://cis.unimelb.edu.au/" TargetMode="External"/><Relationship Id="rId42" Type="http://schemas.openxmlformats.org/officeDocument/2006/relationships/hyperlink" Target="https://set.adelaide.edu.au/computer-and-mathematical-sciences/" TargetMode="External"/><Relationship Id="rId43" Type="http://schemas.openxmlformats.org/officeDocument/2006/relationships/hyperlink" Target="https://www.uow.edu.au/engineering-information-sciences/" TargetMode="External"/><Relationship Id="rId4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5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4" t="s">
        <v>11</v>
      </c>
      <c r="F2" s="2" t="s">
        <v>12</v>
      </c>
      <c r="G2" s="2" t="s">
        <v>13</v>
      </c>
      <c r="H2" s="5" t="s">
        <v>14</v>
      </c>
    </row>
    <row r="3" customFormat="false" ht="23.85" hidden="false" customHeight="false" outlineLevel="0" collapsed="false">
      <c r="A3" s="2" t="n">
        <v>2</v>
      </c>
      <c r="B3" s="3" t="s">
        <v>8</v>
      </c>
      <c r="C3" s="2" t="s">
        <v>15</v>
      </c>
      <c r="D3" s="2" t="s">
        <v>16</v>
      </c>
      <c r="E3" s="4" t="s">
        <v>17</v>
      </c>
      <c r="F3" s="2" t="s">
        <v>18</v>
      </c>
      <c r="G3" s="2" t="s">
        <v>19</v>
      </c>
      <c r="H3" s="2" t="s">
        <v>20</v>
      </c>
    </row>
    <row r="4" customFormat="false" ht="23.85" hidden="false" customHeight="false" outlineLevel="0" collapsed="false">
      <c r="A4" s="2" t="n">
        <v>3</v>
      </c>
      <c r="B4" s="3" t="s">
        <v>8</v>
      </c>
      <c r="C4" s="2" t="s">
        <v>21</v>
      </c>
      <c r="D4" s="2" t="s">
        <v>22</v>
      </c>
      <c r="E4" s="4" t="s">
        <v>23</v>
      </c>
      <c r="F4" s="2" t="s">
        <v>24</v>
      </c>
      <c r="G4" s="2" t="s">
        <v>25</v>
      </c>
      <c r="H4" s="2" t="s">
        <v>20</v>
      </c>
    </row>
    <row r="5" customFormat="false" ht="23.85" hidden="false" customHeight="false" outlineLevel="0" collapsed="false">
      <c r="A5" s="2" t="n">
        <v>4</v>
      </c>
      <c r="B5" s="3" t="s">
        <v>8</v>
      </c>
      <c r="C5" s="2" t="s">
        <v>26</v>
      </c>
      <c r="D5" s="2" t="s">
        <v>27</v>
      </c>
      <c r="E5" s="4" t="s">
        <v>28</v>
      </c>
      <c r="F5" s="2" t="s">
        <v>29</v>
      </c>
      <c r="G5" s="2" t="s">
        <v>30</v>
      </c>
      <c r="H5" s="2" t="s">
        <v>20</v>
      </c>
    </row>
    <row r="6" customFormat="false" ht="23.85" hidden="false" customHeight="false" outlineLevel="0" collapsed="false">
      <c r="A6" s="2" t="n">
        <v>5</v>
      </c>
      <c r="B6" s="3" t="s">
        <v>8</v>
      </c>
      <c r="C6" s="2" t="s">
        <v>31</v>
      </c>
      <c r="D6" s="2" t="s">
        <v>32</v>
      </c>
      <c r="E6" s="4" t="s">
        <v>33</v>
      </c>
      <c r="F6" s="2" t="s">
        <v>34</v>
      </c>
      <c r="G6" s="2" t="s">
        <v>35</v>
      </c>
      <c r="H6" s="2" t="s">
        <v>20</v>
      </c>
    </row>
    <row r="7" customFormat="false" ht="23.85" hidden="false" customHeight="false" outlineLevel="0" collapsed="false">
      <c r="A7" s="2" t="n">
        <v>6</v>
      </c>
      <c r="B7" s="3" t="s">
        <v>8</v>
      </c>
      <c r="C7" s="2" t="s">
        <v>36</v>
      </c>
      <c r="D7" s="2" t="s">
        <v>37</v>
      </c>
      <c r="E7" s="4" t="s">
        <v>38</v>
      </c>
      <c r="F7" s="2" t="s">
        <v>39</v>
      </c>
      <c r="G7" s="2" t="s">
        <v>40</v>
      </c>
      <c r="H7" s="2" t="s">
        <v>20</v>
      </c>
    </row>
    <row r="8" customFormat="false" ht="23.85" hidden="false" customHeight="false" outlineLevel="0" collapsed="false">
      <c r="A8" s="2" t="n">
        <v>7</v>
      </c>
      <c r="B8" s="3" t="s">
        <v>8</v>
      </c>
      <c r="C8" s="2" t="s">
        <v>41</v>
      </c>
      <c r="D8" s="2" t="s">
        <v>42</v>
      </c>
      <c r="E8" s="4" t="s">
        <v>43</v>
      </c>
      <c r="F8" s="2" t="s">
        <v>44</v>
      </c>
      <c r="G8" s="2" t="s">
        <v>45</v>
      </c>
      <c r="H8" s="2" t="s">
        <v>20</v>
      </c>
    </row>
    <row r="9" customFormat="false" ht="23.85" hidden="false" customHeight="false" outlineLevel="0" collapsed="false">
      <c r="A9" s="2" t="n">
        <v>8</v>
      </c>
      <c r="B9" s="3" t="s">
        <v>8</v>
      </c>
      <c r="C9" s="2" t="s">
        <v>46</v>
      </c>
      <c r="D9" s="2" t="s">
        <v>16</v>
      </c>
      <c r="E9" s="4" t="s">
        <v>47</v>
      </c>
      <c r="F9" s="2" t="s">
        <v>48</v>
      </c>
      <c r="G9" s="2" t="s">
        <v>49</v>
      </c>
      <c r="H9" s="2" t="s">
        <v>20</v>
      </c>
    </row>
    <row r="10" customFormat="false" ht="23.85" hidden="false" customHeight="false" outlineLevel="0" collapsed="false">
      <c r="A10" s="2" t="n">
        <v>9</v>
      </c>
      <c r="B10" s="3" t="s">
        <v>8</v>
      </c>
      <c r="C10" s="2" t="s">
        <v>50</v>
      </c>
      <c r="D10" s="2" t="s">
        <v>16</v>
      </c>
      <c r="E10" s="4" t="s">
        <v>51</v>
      </c>
      <c r="F10" s="2" t="s">
        <v>52</v>
      </c>
      <c r="G10" s="2" t="s">
        <v>53</v>
      </c>
      <c r="H10" s="2" t="s">
        <v>20</v>
      </c>
    </row>
    <row r="11" customFormat="false" ht="15" hidden="false" customHeight="false" outlineLevel="0" collapsed="false">
      <c r="A11" s="2" t="n">
        <v>10</v>
      </c>
      <c r="B11" s="3" t="s">
        <v>8</v>
      </c>
      <c r="C11" s="2" t="s">
        <v>54</v>
      </c>
      <c r="D11" s="2" t="s">
        <v>16</v>
      </c>
      <c r="E11" s="4" t="s">
        <v>55</v>
      </c>
      <c r="F11" s="2" t="s">
        <v>56</v>
      </c>
      <c r="G11" s="2" t="s">
        <v>57</v>
      </c>
      <c r="H11" s="5" t="s">
        <v>14</v>
      </c>
    </row>
    <row r="12" customFormat="false" ht="23.85" hidden="false" customHeight="false" outlineLevel="0" collapsed="false">
      <c r="A12" s="2" t="n">
        <v>11</v>
      </c>
      <c r="B12" s="3" t="s">
        <v>8</v>
      </c>
      <c r="C12" s="2" t="s">
        <v>58</v>
      </c>
      <c r="D12" s="2" t="s">
        <v>16</v>
      </c>
      <c r="E12" s="4" t="s">
        <v>59</v>
      </c>
      <c r="F12" s="2" t="s">
        <v>60</v>
      </c>
      <c r="G12" s="2" t="s">
        <v>61</v>
      </c>
      <c r="H12" s="2" t="s">
        <v>20</v>
      </c>
    </row>
    <row r="13" customFormat="false" ht="15" hidden="false" customHeight="false" outlineLevel="0" collapsed="false">
      <c r="A13" s="2" t="n">
        <v>12</v>
      </c>
      <c r="B13" s="3" t="s">
        <v>8</v>
      </c>
      <c r="C13" s="2" t="s">
        <v>62</v>
      </c>
      <c r="D13" s="2" t="s">
        <v>63</v>
      </c>
      <c r="E13" s="4" t="s">
        <v>64</v>
      </c>
      <c r="F13" s="2" t="s">
        <v>65</v>
      </c>
      <c r="G13" s="2" t="s">
        <v>66</v>
      </c>
      <c r="H13" s="5" t="s">
        <v>14</v>
      </c>
    </row>
    <row r="14" customFormat="false" ht="15" hidden="false" customHeight="false" outlineLevel="0" collapsed="false">
      <c r="A14" s="2" t="n">
        <v>13</v>
      </c>
      <c r="B14" s="3" t="s">
        <v>8</v>
      </c>
      <c r="C14" s="2" t="s">
        <v>67</v>
      </c>
      <c r="D14" s="2" t="s">
        <v>16</v>
      </c>
      <c r="E14" s="4" t="s">
        <v>68</v>
      </c>
      <c r="F14" s="2" t="s">
        <v>69</v>
      </c>
      <c r="G14" s="2" t="s">
        <v>70</v>
      </c>
      <c r="H14" s="5" t="s">
        <v>14</v>
      </c>
    </row>
    <row r="15" customFormat="false" ht="23.85" hidden="false" customHeight="false" outlineLevel="0" collapsed="false">
      <c r="A15" s="2" t="n">
        <v>14</v>
      </c>
      <c r="B15" s="3" t="s">
        <v>8</v>
      </c>
      <c r="C15" s="2" t="s">
        <v>71</v>
      </c>
      <c r="D15" s="2" t="s">
        <v>72</v>
      </c>
      <c r="E15" s="4" t="s">
        <v>73</v>
      </c>
      <c r="F15" s="2" t="s">
        <v>74</v>
      </c>
      <c r="G15" s="2" t="s">
        <v>75</v>
      </c>
      <c r="H15" s="2" t="s">
        <v>20</v>
      </c>
    </row>
    <row r="16" customFormat="false" ht="23.85" hidden="false" customHeight="false" outlineLevel="0" collapsed="false">
      <c r="A16" s="2" t="n">
        <v>15</v>
      </c>
      <c r="B16" s="3" t="s">
        <v>8</v>
      </c>
      <c r="C16" s="2" t="s">
        <v>76</v>
      </c>
      <c r="D16" s="2" t="s">
        <v>16</v>
      </c>
      <c r="E16" s="4" t="s">
        <v>77</v>
      </c>
      <c r="F16" s="2" t="s">
        <v>78</v>
      </c>
      <c r="G16" s="2" t="s">
        <v>79</v>
      </c>
      <c r="H16" s="2" t="s">
        <v>20</v>
      </c>
    </row>
    <row r="17" customFormat="false" ht="23.85" hidden="false" customHeight="false" outlineLevel="0" collapsed="false">
      <c r="A17" s="2" t="n">
        <v>16</v>
      </c>
      <c r="B17" s="3" t="s">
        <v>8</v>
      </c>
      <c r="C17" s="2" t="s">
        <v>80</v>
      </c>
      <c r="D17" s="2" t="s">
        <v>16</v>
      </c>
      <c r="E17" s="4" t="s">
        <v>81</v>
      </c>
      <c r="F17" s="2" t="s">
        <v>82</v>
      </c>
      <c r="G17" s="2" t="s">
        <v>83</v>
      </c>
      <c r="H17" s="2" t="s">
        <v>20</v>
      </c>
    </row>
    <row r="18" customFormat="false" ht="23.85" hidden="false" customHeight="false" outlineLevel="0" collapsed="false">
      <c r="A18" s="2" t="n">
        <v>17</v>
      </c>
      <c r="B18" s="3" t="s">
        <v>8</v>
      </c>
      <c r="C18" s="2" t="s">
        <v>84</v>
      </c>
      <c r="D18" s="2" t="s">
        <v>85</v>
      </c>
      <c r="E18" s="4" t="s">
        <v>86</v>
      </c>
      <c r="F18" s="2" t="s">
        <v>87</v>
      </c>
      <c r="G18" s="2" t="s">
        <v>88</v>
      </c>
      <c r="H18" s="2" t="s">
        <v>20</v>
      </c>
    </row>
    <row r="19" customFormat="false" ht="23.85" hidden="false" customHeight="false" outlineLevel="0" collapsed="false">
      <c r="A19" s="2" t="n">
        <v>18</v>
      </c>
      <c r="B19" s="3" t="s">
        <v>8</v>
      </c>
      <c r="C19" s="2" t="s">
        <v>89</v>
      </c>
      <c r="D19" s="2" t="s">
        <v>16</v>
      </c>
      <c r="E19" s="4" t="s">
        <v>90</v>
      </c>
      <c r="F19" s="2" t="s">
        <v>91</v>
      </c>
      <c r="G19" s="2" t="s">
        <v>92</v>
      </c>
      <c r="H19" s="2" t="s">
        <v>20</v>
      </c>
    </row>
    <row r="20" customFormat="false" ht="23.85" hidden="false" customHeight="false" outlineLevel="0" collapsed="false">
      <c r="A20" s="2" t="n">
        <v>19</v>
      </c>
      <c r="B20" s="3" t="s">
        <v>8</v>
      </c>
      <c r="C20" s="2" t="s">
        <v>93</v>
      </c>
      <c r="D20" s="2" t="s">
        <v>16</v>
      </c>
      <c r="E20" s="4" t="s">
        <v>94</v>
      </c>
      <c r="F20" s="2" t="s">
        <v>95</v>
      </c>
      <c r="G20" s="2" t="s">
        <v>96</v>
      </c>
      <c r="H20" s="2" t="s">
        <v>20</v>
      </c>
    </row>
    <row r="21" customFormat="false" ht="23.85" hidden="false" customHeight="false" outlineLevel="0" collapsed="false">
      <c r="A21" s="2" t="n">
        <v>20</v>
      </c>
      <c r="B21" s="6" t="s">
        <v>97</v>
      </c>
      <c r="C21" s="2" t="s">
        <v>98</v>
      </c>
      <c r="D21" s="2" t="s">
        <v>99</v>
      </c>
      <c r="E21" s="4" t="s">
        <v>100</v>
      </c>
      <c r="F21" s="2" t="s">
        <v>101</v>
      </c>
      <c r="G21" s="2" t="s">
        <v>102</v>
      </c>
      <c r="H21" s="5" t="s">
        <v>14</v>
      </c>
    </row>
    <row r="22" customFormat="false" ht="23.85" hidden="false" customHeight="false" outlineLevel="0" collapsed="false">
      <c r="A22" s="2" t="n">
        <v>21</v>
      </c>
      <c r="B22" s="6" t="s">
        <v>97</v>
      </c>
      <c r="C22" s="2" t="s">
        <v>103</v>
      </c>
      <c r="D22" s="2" t="s">
        <v>104</v>
      </c>
      <c r="E22" s="4" t="s">
        <v>105</v>
      </c>
      <c r="F22" s="2" t="s">
        <v>106</v>
      </c>
      <c r="G22" s="2" t="s">
        <v>107</v>
      </c>
      <c r="H22" s="2" t="s">
        <v>20</v>
      </c>
    </row>
    <row r="23" customFormat="false" ht="23.85" hidden="false" customHeight="false" outlineLevel="0" collapsed="false">
      <c r="A23" s="2" t="n">
        <v>22</v>
      </c>
      <c r="B23" s="6" t="s">
        <v>97</v>
      </c>
      <c r="C23" s="2" t="s">
        <v>108</v>
      </c>
      <c r="D23" s="2" t="s">
        <v>109</v>
      </c>
      <c r="E23" s="4" t="s">
        <v>110</v>
      </c>
      <c r="F23" s="2" t="s">
        <v>111</v>
      </c>
      <c r="G23" s="2" t="s">
        <v>112</v>
      </c>
      <c r="H23" s="5" t="s">
        <v>14</v>
      </c>
    </row>
    <row r="24" customFormat="false" ht="23.85" hidden="false" customHeight="false" outlineLevel="0" collapsed="false">
      <c r="A24" s="2" t="n">
        <v>23</v>
      </c>
      <c r="B24" s="6" t="s">
        <v>97</v>
      </c>
      <c r="C24" s="2" t="s">
        <v>113</v>
      </c>
      <c r="D24" s="2" t="s">
        <v>114</v>
      </c>
      <c r="E24" s="4" t="s">
        <v>115</v>
      </c>
      <c r="F24" s="2" t="s">
        <v>116</v>
      </c>
      <c r="G24" s="2" t="s">
        <v>117</v>
      </c>
      <c r="H24" s="2" t="s">
        <v>20</v>
      </c>
    </row>
    <row r="25" customFormat="false" ht="23.85" hidden="false" customHeight="false" outlineLevel="0" collapsed="false">
      <c r="A25" s="2" t="n">
        <v>24</v>
      </c>
      <c r="B25" s="6" t="s">
        <v>97</v>
      </c>
      <c r="C25" s="2" t="s">
        <v>118</v>
      </c>
      <c r="D25" s="2" t="s">
        <v>16</v>
      </c>
      <c r="E25" s="4" t="s">
        <v>119</v>
      </c>
      <c r="F25" s="2" t="s">
        <v>120</v>
      </c>
      <c r="G25" s="2" t="s">
        <v>121</v>
      </c>
      <c r="H25" s="2" t="s">
        <v>20</v>
      </c>
    </row>
    <row r="26" customFormat="false" ht="23.85" hidden="false" customHeight="false" outlineLevel="0" collapsed="false">
      <c r="A26" s="2" t="n">
        <v>25</v>
      </c>
      <c r="B26" s="6" t="s">
        <v>97</v>
      </c>
      <c r="C26" s="2" t="s">
        <v>122</v>
      </c>
      <c r="D26" s="2" t="s">
        <v>123</v>
      </c>
      <c r="E26" s="4" t="s">
        <v>124</v>
      </c>
      <c r="F26" s="2" t="s">
        <v>125</v>
      </c>
      <c r="G26" s="2" t="s">
        <v>126</v>
      </c>
      <c r="H26" s="2" t="s">
        <v>20</v>
      </c>
    </row>
    <row r="27" customFormat="false" ht="23.85" hidden="false" customHeight="false" outlineLevel="0" collapsed="false">
      <c r="A27" s="2" t="n">
        <v>26</v>
      </c>
      <c r="B27" s="6" t="s">
        <v>97</v>
      </c>
      <c r="C27" s="2" t="s">
        <v>127</v>
      </c>
      <c r="D27" s="2" t="s">
        <v>16</v>
      </c>
      <c r="E27" s="4" t="s">
        <v>128</v>
      </c>
      <c r="F27" s="2" t="s">
        <v>129</v>
      </c>
      <c r="G27" s="2" t="s">
        <v>130</v>
      </c>
      <c r="H27" s="2" t="s">
        <v>20</v>
      </c>
    </row>
    <row r="28" customFormat="false" ht="23.85" hidden="false" customHeight="false" outlineLevel="0" collapsed="false">
      <c r="A28" s="2" t="n">
        <v>27</v>
      </c>
      <c r="B28" s="7" t="s">
        <v>131</v>
      </c>
      <c r="C28" s="2" t="s">
        <v>132</v>
      </c>
      <c r="D28" s="2" t="s">
        <v>133</v>
      </c>
      <c r="E28" s="4" t="s">
        <v>134</v>
      </c>
      <c r="F28" s="2" t="s">
        <v>135</v>
      </c>
      <c r="G28" s="2" t="s">
        <v>136</v>
      </c>
      <c r="H28" s="5" t="s">
        <v>14</v>
      </c>
    </row>
    <row r="29" customFormat="false" ht="23.85" hidden="false" customHeight="false" outlineLevel="0" collapsed="false">
      <c r="A29" s="2" t="n">
        <v>28</v>
      </c>
      <c r="B29" s="7" t="s">
        <v>131</v>
      </c>
      <c r="C29" s="2" t="s">
        <v>137</v>
      </c>
      <c r="D29" s="2" t="s">
        <v>133</v>
      </c>
      <c r="E29" s="4" t="s">
        <v>138</v>
      </c>
      <c r="F29" s="2" t="s">
        <v>139</v>
      </c>
      <c r="G29" s="2" t="s">
        <v>140</v>
      </c>
      <c r="H29" s="5" t="s">
        <v>14</v>
      </c>
    </row>
    <row r="30" customFormat="false" ht="23.85" hidden="false" customHeight="false" outlineLevel="0" collapsed="false">
      <c r="A30" s="2" t="n">
        <v>29</v>
      </c>
      <c r="B30" s="7" t="s">
        <v>131</v>
      </c>
      <c r="C30" s="2" t="s">
        <v>141</v>
      </c>
      <c r="D30" s="2" t="s">
        <v>133</v>
      </c>
      <c r="E30" s="4" t="s">
        <v>142</v>
      </c>
      <c r="F30" s="2" t="s">
        <v>143</v>
      </c>
      <c r="G30" s="2" t="s">
        <v>144</v>
      </c>
      <c r="H30" s="5" t="s">
        <v>14</v>
      </c>
    </row>
    <row r="31" customFormat="false" ht="23.85" hidden="false" customHeight="false" outlineLevel="0" collapsed="false">
      <c r="A31" s="2" t="n">
        <v>30</v>
      </c>
      <c r="B31" s="7" t="s">
        <v>131</v>
      </c>
      <c r="C31" s="2" t="s">
        <v>145</v>
      </c>
      <c r="D31" s="2" t="s">
        <v>146</v>
      </c>
      <c r="E31" s="4" t="s">
        <v>147</v>
      </c>
      <c r="F31" s="2" t="s">
        <v>148</v>
      </c>
      <c r="G31" s="2" t="s">
        <v>149</v>
      </c>
      <c r="H31" s="5" t="s">
        <v>14</v>
      </c>
    </row>
    <row r="32" customFormat="false" ht="23.85" hidden="false" customHeight="false" outlineLevel="0" collapsed="false">
      <c r="A32" s="2" t="n">
        <v>31</v>
      </c>
      <c r="B32" s="7" t="s">
        <v>131</v>
      </c>
      <c r="C32" s="2" t="s">
        <v>150</v>
      </c>
      <c r="D32" s="2" t="s">
        <v>151</v>
      </c>
      <c r="E32" s="4" t="s">
        <v>152</v>
      </c>
      <c r="F32" s="2" t="s">
        <v>153</v>
      </c>
      <c r="G32" s="2" t="s">
        <v>154</v>
      </c>
      <c r="H32" s="2" t="s">
        <v>20</v>
      </c>
    </row>
    <row r="33" customFormat="false" ht="23.85" hidden="false" customHeight="false" outlineLevel="0" collapsed="false">
      <c r="A33" s="2" t="n">
        <v>32</v>
      </c>
      <c r="B33" s="7" t="s">
        <v>131</v>
      </c>
      <c r="C33" s="2" t="s">
        <v>155</v>
      </c>
      <c r="D33" s="2" t="s">
        <v>156</v>
      </c>
      <c r="E33" s="4" t="s">
        <v>157</v>
      </c>
      <c r="F33" s="2" t="s">
        <v>158</v>
      </c>
      <c r="G33" s="2" t="s">
        <v>159</v>
      </c>
      <c r="H33" s="2" t="s">
        <v>20</v>
      </c>
    </row>
    <row r="34" customFormat="false" ht="23.85" hidden="false" customHeight="false" outlineLevel="0" collapsed="false">
      <c r="A34" s="2" t="n">
        <v>33</v>
      </c>
      <c r="B34" s="7" t="s">
        <v>131</v>
      </c>
      <c r="C34" s="2" t="s">
        <v>160</v>
      </c>
      <c r="D34" s="2" t="s">
        <v>114</v>
      </c>
      <c r="E34" s="4" t="s">
        <v>161</v>
      </c>
      <c r="F34" s="2" t="s">
        <v>162</v>
      </c>
      <c r="G34" s="2" t="s">
        <v>163</v>
      </c>
      <c r="H34" s="2" t="s">
        <v>20</v>
      </c>
    </row>
    <row r="35" customFormat="false" ht="23.85" hidden="false" customHeight="false" outlineLevel="0" collapsed="false">
      <c r="A35" s="2" t="n">
        <v>34</v>
      </c>
      <c r="B35" s="7" t="s">
        <v>131</v>
      </c>
      <c r="C35" s="2" t="s">
        <v>164</v>
      </c>
      <c r="D35" s="2" t="s">
        <v>165</v>
      </c>
      <c r="E35" s="4" t="s">
        <v>166</v>
      </c>
      <c r="F35" s="2" t="s">
        <v>167</v>
      </c>
      <c r="G35" s="2" t="s">
        <v>168</v>
      </c>
      <c r="H35" s="2" t="s">
        <v>20</v>
      </c>
    </row>
    <row r="36" customFormat="false" ht="23.85" hidden="false" customHeight="false" outlineLevel="0" collapsed="false">
      <c r="A36" s="2" t="n">
        <v>35</v>
      </c>
      <c r="B36" s="7" t="s">
        <v>131</v>
      </c>
      <c r="C36" s="2" t="s">
        <v>169</v>
      </c>
      <c r="D36" s="2" t="s">
        <v>170</v>
      </c>
      <c r="E36" s="4" t="s">
        <v>171</v>
      </c>
      <c r="F36" s="2" t="s">
        <v>172</v>
      </c>
      <c r="G36" s="2" t="s">
        <v>173</v>
      </c>
      <c r="H36" s="2" t="s">
        <v>20</v>
      </c>
    </row>
    <row r="37" customFormat="false" ht="23.85" hidden="false" customHeight="false" outlineLevel="0" collapsed="false">
      <c r="A37" s="2" t="n">
        <v>36</v>
      </c>
      <c r="B37" s="7" t="s">
        <v>131</v>
      </c>
      <c r="C37" s="2" t="s">
        <v>174</v>
      </c>
      <c r="D37" s="2" t="s">
        <v>16</v>
      </c>
      <c r="E37" s="4" t="s">
        <v>175</v>
      </c>
      <c r="F37" s="2" t="s">
        <v>176</v>
      </c>
      <c r="G37" s="2" t="s">
        <v>177</v>
      </c>
      <c r="H37" s="2" t="s">
        <v>20</v>
      </c>
    </row>
    <row r="38" customFormat="false" ht="23.85" hidden="false" customHeight="false" outlineLevel="0" collapsed="false">
      <c r="A38" s="2" t="n">
        <v>37</v>
      </c>
      <c r="B38" s="8" t="s">
        <v>178</v>
      </c>
      <c r="C38" s="2" t="s">
        <v>179</v>
      </c>
      <c r="D38" s="2" t="s">
        <v>180</v>
      </c>
      <c r="E38" s="4" t="s">
        <v>181</v>
      </c>
      <c r="F38" s="2" t="s">
        <v>182</v>
      </c>
      <c r="G38" s="2" t="s">
        <v>183</v>
      </c>
      <c r="H38" s="5" t="s">
        <v>14</v>
      </c>
    </row>
    <row r="39" customFormat="false" ht="23.85" hidden="false" customHeight="false" outlineLevel="0" collapsed="false">
      <c r="A39" s="2" t="n">
        <v>38</v>
      </c>
      <c r="B39" s="8" t="s">
        <v>178</v>
      </c>
      <c r="C39" s="2" t="s">
        <v>184</v>
      </c>
      <c r="D39" s="2" t="s">
        <v>27</v>
      </c>
      <c r="E39" s="4" t="s">
        <v>185</v>
      </c>
      <c r="F39" s="2" t="s">
        <v>186</v>
      </c>
      <c r="G39" s="2" t="s">
        <v>187</v>
      </c>
      <c r="H39" s="5" t="s">
        <v>14</v>
      </c>
    </row>
    <row r="40" customFormat="false" ht="23.85" hidden="false" customHeight="false" outlineLevel="0" collapsed="false">
      <c r="A40" s="2" t="n">
        <v>39</v>
      </c>
      <c r="B40" s="8" t="s">
        <v>178</v>
      </c>
      <c r="C40" s="2" t="s">
        <v>188</v>
      </c>
      <c r="D40" s="2" t="s">
        <v>189</v>
      </c>
      <c r="E40" s="4" t="s">
        <v>190</v>
      </c>
      <c r="F40" s="2" t="s">
        <v>191</v>
      </c>
      <c r="G40" s="2" t="s">
        <v>192</v>
      </c>
      <c r="H40" s="5" t="s">
        <v>14</v>
      </c>
    </row>
    <row r="41" customFormat="false" ht="23.85" hidden="false" customHeight="false" outlineLevel="0" collapsed="false">
      <c r="A41" s="2" t="n">
        <v>40</v>
      </c>
      <c r="B41" s="8" t="s">
        <v>178</v>
      </c>
      <c r="C41" s="2" t="s">
        <v>193</v>
      </c>
      <c r="D41" s="2" t="s">
        <v>194</v>
      </c>
      <c r="E41" s="4" t="s">
        <v>195</v>
      </c>
      <c r="F41" s="2" t="s">
        <v>196</v>
      </c>
      <c r="G41" s="2" t="s">
        <v>197</v>
      </c>
      <c r="H41" s="5" t="s">
        <v>14</v>
      </c>
    </row>
    <row r="42" customFormat="false" ht="23.85" hidden="false" customHeight="false" outlineLevel="0" collapsed="false">
      <c r="A42" s="2" t="n">
        <v>41</v>
      </c>
      <c r="B42" s="8" t="s">
        <v>178</v>
      </c>
      <c r="C42" s="2" t="s">
        <v>198</v>
      </c>
      <c r="D42" s="2" t="s">
        <v>199</v>
      </c>
      <c r="E42" s="4" t="s">
        <v>200</v>
      </c>
      <c r="F42" s="2" t="s">
        <v>201</v>
      </c>
      <c r="G42" s="2" t="s">
        <v>202</v>
      </c>
      <c r="H42" s="2" t="s">
        <v>20</v>
      </c>
    </row>
    <row r="43" customFormat="false" ht="23.85" hidden="false" customHeight="false" outlineLevel="0" collapsed="false">
      <c r="A43" s="2" t="n">
        <v>42</v>
      </c>
      <c r="B43" s="8" t="s">
        <v>178</v>
      </c>
      <c r="C43" s="2" t="s">
        <v>203</v>
      </c>
      <c r="D43" s="2" t="s">
        <v>204</v>
      </c>
      <c r="E43" s="4" t="s">
        <v>205</v>
      </c>
      <c r="F43" s="2" t="s">
        <v>206</v>
      </c>
      <c r="G43" s="2" t="s">
        <v>207</v>
      </c>
      <c r="H43" s="2" t="s">
        <v>20</v>
      </c>
    </row>
    <row r="44" customFormat="false" ht="23.85" hidden="false" customHeight="false" outlineLevel="0" collapsed="false">
      <c r="A44" s="2" t="n">
        <v>43</v>
      </c>
      <c r="B44" s="8" t="s">
        <v>178</v>
      </c>
      <c r="C44" s="2" t="s">
        <v>208</v>
      </c>
      <c r="D44" s="2" t="s">
        <v>209</v>
      </c>
      <c r="E44" s="4" t="s">
        <v>210</v>
      </c>
      <c r="F44" s="2" t="s">
        <v>211</v>
      </c>
      <c r="G44" s="2" t="s">
        <v>212</v>
      </c>
      <c r="H44" s="2" t="s">
        <v>20</v>
      </c>
    </row>
  </sheetData>
  <autoFilter ref="A1:H44"/>
  <hyperlinks>
    <hyperlink ref="E2" r:id="rId1" display="https://s3d.cmu.edu/"/>
    <hyperlink ref="E3" r:id="rId2" display="https://siebelschool.illinois.edu/"/>
    <hyperlink ref="E4" r:id="rId3" display="https://www.ece.utexas.edu/"/>
    <hyperlink ref="E5" r:id="rId4" display="https://www.cc.gatech.edu/"/>
    <hyperlink ref="E6" r:id="rId5" display="https://www.cs.washington.edu/"/>
    <hyperlink ref="E7" r:id="rId6" display="https://eecs.berkeley.edu/"/>
    <hyperlink ref="E8" r:id="rId7" display="https://www.informatics.uci.edu/"/>
    <hyperlink ref="E9" r:id="rId8" display="https://www.cs.purdue.edu/"/>
    <hyperlink ref="E10" r:id="rId9" display="https://www.csc.ncsu.edu/"/>
    <hyperlink ref="E11" r:id="rId10" display="https://www.cs.iastate.edu/"/>
    <hyperlink ref="E12" r:id="rId11" display="https://engineering.virginia.edu/department/computer-science"/>
    <hyperlink ref="E13" r:id="rId12" display="https://nau.edu/school-of-informatics-computing-and-cyber-systems/"/>
    <hyperlink ref="E14" r:id="rId13" display="https://www.cs.ucf.edu/"/>
    <hyperlink ref="E15" r:id="rId14" display="https://cs.utdallas.edu/"/>
    <hyperlink ref="E16" r:id="rId15" display="https://www.wm.edu/as/computerscience/"/>
    <hyperlink ref="E17" r:id="rId16" display="https://www.cics.umass.edu/"/>
    <hyperlink ref="E18" r:id="rId17" display="https://www.cis.udel.edu/"/>
    <hyperlink ref="E19" r:id="rId18" display="https://engineering.case.edu/computer-and-data-sciences"/>
    <hyperlink ref="E20" r:id="rId19" display="https://www.cs.columbia.edu/"/>
    <hyperlink ref="E21" r:id="rId20" display="https://www.sheffield.ac.uk/cs/research/groups/testing"/>
    <hyperlink ref="E22" r:id="rId21" display="https://www.ucl.ac.uk/computer-science/"/>
    <hyperlink ref="E23" r:id="rId22" display="https://www.kcl.ac.uk/informatics"/>
    <hyperlink ref="E24" r:id="rId23" display="https://www.imperial.ac.uk/computing/"/>
    <hyperlink ref="E25" r:id="rId24" display="https://www.york.ac.uk/computer-science/"/>
    <hyperlink ref="E26" r:id="rId25" display="https://www.ed.ac.uk/informatics"/>
    <hyperlink ref="E27" r:id="rId26" display="https://www.bristol.ac.uk/engineering/departments/computerscience/"/>
    <hyperlink ref="E28" r:id="rId27" display="https://ece.ubc.ca/"/>
    <hyperlink ref="E29" r:id="rId28" display="https://www.uottawa.ca/faculty-engineering/"/>
    <hyperlink ref="E30" r:id="rId29" display="https://uwaterloo.ca/electrical-computer-engineering/"/>
    <hyperlink ref="E31" r:id="rId30" display="https://lassonde.yorku.ca/eecs/"/>
    <hyperlink ref="E32" r:id="rId31" display="https://www.polymtl.ca/gigl/"/>
    <hyperlink ref="E33" r:id="rId32" display="https://www.concordia.ca/ginacody/computer-science-software-eng.html"/>
    <hyperlink ref="E34" r:id="rId33" display="https://www.cs.queensu.ca/"/>
    <hyperlink ref="E35" r:id="rId34" display="https://carleton.ca/sce/"/>
    <hyperlink ref="E36" r:id="rId35" display="https://www.ualberta.ca/computing-science/"/>
    <hyperlink ref="E37" r:id="rId36" display="https://web.cs.toronto.edu/"/>
    <hyperlink ref="E38" r:id="rId37" display="https://www.monash.edu/it"/>
    <hyperlink ref="E39" r:id="rId38" display="https://www.swinburne.edu.au/"/>
    <hyperlink ref="E40" r:id="rId39" display="https://eecs.uq.edu.au/"/>
    <hyperlink ref="E41" r:id="rId40" display="https://www.unsw.edu.au/engineering/our-schools/computer-science-and-engineering"/>
    <hyperlink ref="E42" r:id="rId41" display="https://cis.unimelb.edu.au/"/>
    <hyperlink ref="E43" r:id="rId42" display="https://set.adelaide.edu.au/computer-and-mathematical-sciences/"/>
    <hyperlink ref="E44" r:id="rId43" display="https://www.uow.edu.au/engineering-information-scienc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9" t="s">
        <v>1</v>
      </c>
      <c r="B1" s="9" t="s">
        <v>213</v>
      </c>
    </row>
    <row r="2" customFormat="false" ht="15" hidden="false" customHeight="false" outlineLevel="0" collapsed="false">
      <c r="A2" s="10" t="s">
        <v>8</v>
      </c>
      <c r="B2" s="10" t="n">
        <f aca="false">COUNTIF('PhD Universities'!B:B,"USA")</f>
        <v>19</v>
      </c>
    </row>
    <row r="3" customFormat="false" ht="15" hidden="false" customHeight="false" outlineLevel="0" collapsed="false">
      <c r="A3" s="10" t="s">
        <v>97</v>
      </c>
      <c r="B3" s="10" t="n">
        <f aca="false">COUNTIF('PhD Universities'!B:B,"UK")</f>
        <v>7</v>
      </c>
    </row>
    <row r="4" customFormat="false" ht="15" hidden="false" customHeight="false" outlineLevel="0" collapsed="false">
      <c r="A4" s="10" t="s">
        <v>131</v>
      </c>
      <c r="B4" s="10" t="n">
        <f aca="false">COUNTIF('PhD Universities'!B:B,"Canada")</f>
        <v>10</v>
      </c>
    </row>
    <row r="5" customFormat="false" ht="15" hidden="false" customHeight="false" outlineLevel="0" collapsed="false">
      <c r="A5" s="10" t="s">
        <v>178</v>
      </c>
      <c r="B5" s="10" t="n">
        <f aca="false">COUNTIF('PhD Universities'!B:B,"Australia")</f>
        <v>7</v>
      </c>
    </row>
    <row r="6" customFormat="false" ht="15" hidden="false" customHeight="false" outlineLevel="0" collapsed="false">
      <c r="A6" s="11" t="s">
        <v>214</v>
      </c>
      <c r="B6" s="11" t="n">
        <f aca="false">SUM(B2:B5)</f>
        <v>43</v>
      </c>
    </row>
    <row r="7" customFormat="false" ht="15" hidden="false" customHeight="false" outlineLevel="0" collapsed="false">
      <c r="A7" s="10"/>
      <c r="B7" s="10"/>
    </row>
    <row r="8" customFormat="false" ht="15" hidden="false" customHeight="false" outlineLevel="0" collapsed="false">
      <c r="A8" s="11" t="s">
        <v>215</v>
      </c>
      <c r="B8" s="10"/>
    </row>
    <row r="9" customFormat="false" ht="15" hidden="false" customHeight="false" outlineLevel="0" collapsed="false">
      <c r="A9" s="10" t="s">
        <v>216</v>
      </c>
      <c r="B9" s="10"/>
    </row>
    <row r="10" customFormat="false" ht="15" hidden="false" customHeight="false" outlineLevel="0" collapsed="false">
      <c r="A10" s="10" t="s">
        <v>217</v>
      </c>
      <c r="B10" s="10"/>
    </row>
    <row r="11" customFormat="false" ht="15" hidden="false" customHeight="false" outlineLevel="0" collapsed="false">
      <c r="A11" s="10" t="s">
        <v>218</v>
      </c>
      <c r="B11" s="10"/>
    </row>
    <row r="12" customFormat="false" ht="15" hidden="false" customHeight="false" outlineLevel="0" collapsed="false">
      <c r="A12" s="10" t="s">
        <v>219</v>
      </c>
      <c r="B12" s="10"/>
    </row>
    <row r="13" customFormat="false" ht="15" hidden="false" customHeight="false" outlineLevel="0" collapsed="false">
      <c r="A13" s="10" t="s">
        <v>220</v>
      </c>
      <c r="B1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2026-10-18T10:37:03Z</dcterms:created>
  <dc:creator>openpyxl</dc:creator>
  <dc:description/>
  <dc:language>en-US</dc:language>
  <cp:lastModifiedBy/>
  <dcterms:modified xsi:type="dcterms:W3CDTF">2026-10-18T10:37:03Z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